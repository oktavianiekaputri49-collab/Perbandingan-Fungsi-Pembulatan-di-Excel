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9c8ef6b563eae5/Documents/"/>
    </mc:Choice>
  </mc:AlternateContent>
  <xr:revisionPtr revIDLastSave="18" documentId="8_{749609D5-700D-4448-A259-B32002165A2E}" xr6:coauthVersionLast="47" xr6:coauthVersionMax="47" xr10:uidLastSave="{B2179404-DE29-422E-AB1C-ACDE5C4B89CD}"/>
  <bookViews>
    <workbookView xWindow="-110" yWindow="-110" windowWidth="19420" windowHeight="10300" xr2:uid="{7A60C13C-3385-46A6-93FB-FEFD70B92A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C22" i="1"/>
  <c r="C30" i="1"/>
  <c r="C29" i="1"/>
  <c r="C28" i="1"/>
  <c r="C27" i="1"/>
  <c r="C26" i="1"/>
  <c r="C25" i="1"/>
  <c r="C24" i="1"/>
  <c r="C23" i="1"/>
  <c r="C21" i="1"/>
  <c r="E15" i="1"/>
  <c r="E16" i="1"/>
  <c r="E17" i="1"/>
  <c r="E18" i="1"/>
  <c r="E14" i="1"/>
  <c r="D15" i="1"/>
  <c r="D16" i="1"/>
  <c r="D17" i="1"/>
  <c r="D18" i="1"/>
  <c r="D14" i="1"/>
  <c r="C14" i="1"/>
  <c r="C15" i="1"/>
  <c r="C16" i="1"/>
  <c r="C17" i="1"/>
  <c r="C18" i="1"/>
  <c r="E2" i="1"/>
  <c r="C7" i="1"/>
  <c r="C2" i="1"/>
  <c r="C3" i="1"/>
  <c r="E4" i="1"/>
  <c r="E5" i="1"/>
  <c r="E6" i="1"/>
  <c r="E7" i="1"/>
  <c r="E8" i="1"/>
  <c r="E9" i="1"/>
  <c r="E10" i="1"/>
  <c r="E11" i="1"/>
  <c r="D3" i="1"/>
  <c r="D4" i="1"/>
  <c r="D5" i="1"/>
  <c r="D6" i="1"/>
  <c r="D7" i="1"/>
  <c r="D8" i="1"/>
  <c r="D9" i="1"/>
  <c r="D10" i="1"/>
  <c r="D11" i="1"/>
  <c r="D2" i="1"/>
  <c r="C4" i="1"/>
  <c r="C5" i="1"/>
  <c r="C6" i="1"/>
  <c r="C8" i="1"/>
  <c r="C9" i="1"/>
  <c r="C10" i="1"/>
  <c r="C11" i="1"/>
</calcChain>
</file>

<file path=xl/sharedStrings.xml><?xml version="1.0" encoding="utf-8"?>
<sst xmlns="http://schemas.openxmlformats.org/spreadsheetml/2006/main" count="45" uniqueCount="33">
  <si>
    <t>Nama Murid</t>
  </si>
  <si>
    <t>Nilai Asli</t>
  </si>
  <si>
    <t>Dibulatkan</t>
  </si>
  <si>
    <t>Dika</t>
  </si>
  <si>
    <t>Okta</t>
  </si>
  <si>
    <t>Citra</t>
  </si>
  <si>
    <t>Fernando</t>
  </si>
  <si>
    <t>Udin</t>
  </si>
  <si>
    <t>Kila</t>
  </si>
  <si>
    <t>Hana</t>
  </si>
  <si>
    <t>Pedro</t>
  </si>
  <si>
    <t>Abel</t>
  </si>
  <si>
    <t>Joni</t>
  </si>
  <si>
    <t>Note: kasih ( ' ) sebelum nilai asli</t>
  </si>
  <si>
    <t>Dibulatkan Round</t>
  </si>
  <si>
    <t>Dibulatkan Roundup</t>
  </si>
  <si>
    <t>Dibulatkan Rounddown</t>
  </si>
  <si>
    <t>ROUND</t>
  </si>
  <si>
    <t>Item</t>
  </si>
  <si>
    <t>Stok yang 
dibutuhkan (pcs)</t>
  </si>
  <si>
    <t>Pembulatan
Ke Bawah</t>
  </si>
  <si>
    <t>Pembulatan 
Ke Atas</t>
  </si>
  <si>
    <t>Pembulatan 
Terdekat</t>
  </si>
  <si>
    <t>Beras</t>
  </si>
  <si>
    <t>Telur</t>
  </si>
  <si>
    <t>Minyak</t>
  </si>
  <si>
    <t>Susu</t>
  </si>
  <si>
    <t>Tepung</t>
  </si>
  <si>
    <t>ROUNDUP</t>
  </si>
  <si>
    <t>ROUNDDOWN</t>
  </si>
  <si>
    <t>FLOOR</t>
  </si>
  <si>
    <t>CEILING</t>
  </si>
  <si>
    <t>MROUND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</si>
</sst>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BD9D-8757-4CE5-9FD5-99EA5226316E}">
  <dimension ref="A1:J34"/>
  <sheetViews>
    <sheetView tabSelected="1" workbookViewId="0">
      <selection activeCell="E4" sqref="E4"/>
    </sheetView>
  </sheetViews>
  <sheetFormatPr defaultRowHeight="15.5" x14ac:dyDescent="0.35"/>
  <cols>
    <col min="1" max="1" width="13" style="1" bestFit="1" customWidth="1"/>
    <col min="2" max="2" width="16.90625" style="1" customWidth="1"/>
    <col min="3" max="3" width="18.1796875" style="1" bestFit="1" customWidth="1"/>
    <col min="4" max="4" width="20.54296875" style="1" bestFit="1" customWidth="1"/>
    <col min="5" max="5" width="23.26953125" style="1" bestFit="1" customWidth="1"/>
    <col min="6" max="6" width="8.7265625" style="1"/>
    <col min="7" max="7" width="12.90625" style="1" customWidth="1"/>
    <col min="8" max="8" width="12.08984375" style="1" customWidth="1"/>
    <col min="9" max="9" width="12" style="1" customWidth="1"/>
    <col min="10" max="10" width="8.7265625" style="6"/>
    <col min="11" max="11" width="15.7265625" style="1" bestFit="1" customWidth="1"/>
    <col min="12" max="16384" width="8.7265625" style="1"/>
  </cols>
  <sheetData>
    <row r="1" spans="1:10" ht="15.5" customHeight="1" x14ac:dyDescent="0.35">
      <c r="A1" s="9" t="s">
        <v>0</v>
      </c>
      <c r="B1" s="9" t="s">
        <v>1</v>
      </c>
      <c r="C1" s="9" t="s">
        <v>14</v>
      </c>
      <c r="D1" s="9" t="s">
        <v>15</v>
      </c>
      <c r="E1" s="9" t="s">
        <v>16</v>
      </c>
      <c r="J1" s="1"/>
    </row>
    <row r="2" spans="1:10" ht="15.5" customHeight="1" x14ac:dyDescent="0.35">
      <c r="A2" s="2" t="s">
        <v>3</v>
      </c>
      <c r="B2" s="3">
        <v>80.5</v>
      </c>
      <c r="C2" s="4">
        <f>ROUND(B2, 0)</f>
        <v>81</v>
      </c>
      <c r="D2" s="4">
        <f>ROUNDUP(B2, 0)</f>
        <v>81</v>
      </c>
      <c r="E2" s="4">
        <f>ROUNDDOWN(B2, 0)</f>
        <v>80</v>
      </c>
      <c r="J2" s="1"/>
    </row>
    <row r="3" spans="1:10" ht="15.5" customHeight="1" x14ac:dyDescent="0.35">
      <c r="A3" s="2" t="s">
        <v>4</v>
      </c>
      <c r="B3" s="3">
        <v>90.5</v>
      </c>
      <c r="C3" s="4">
        <f>ROUND(B3, 0)</f>
        <v>91</v>
      </c>
      <c r="D3" s="4">
        <f t="shared" ref="D3:D11" si="0">ROUNDUP(B3, 0)</f>
        <v>91</v>
      </c>
      <c r="E3" s="4">
        <f>ROUNDDOWN(B3, 0)</f>
        <v>90</v>
      </c>
      <c r="J3" s="1"/>
    </row>
    <row r="4" spans="1:10" ht="15.5" customHeight="1" x14ac:dyDescent="0.35">
      <c r="A4" s="2" t="s">
        <v>5</v>
      </c>
      <c r="B4" s="3">
        <v>85.1</v>
      </c>
      <c r="C4" s="4">
        <f t="shared" ref="C4:C11" si="1">ROUND(B4, 0)</f>
        <v>85</v>
      </c>
      <c r="D4" s="4">
        <f t="shared" si="0"/>
        <v>86</v>
      </c>
      <c r="E4" s="4">
        <f t="shared" ref="E3:E11" si="2">ROUNDDOWN(B4, 0)</f>
        <v>85</v>
      </c>
      <c r="J4" s="1"/>
    </row>
    <row r="5" spans="1:10" x14ac:dyDescent="0.35">
      <c r="A5" s="2" t="s">
        <v>6</v>
      </c>
      <c r="B5" s="3">
        <v>75.2</v>
      </c>
      <c r="C5" s="4">
        <f t="shared" si="1"/>
        <v>75</v>
      </c>
      <c r="D5" s="4">
        <f t="shared" si="0"/>
        <v>76</v>
      </c>
      <c r="E5" s="4">
        <f t="shared" si="2"/>
        <v>75</v>
      </c>
      <c r="J5" s="1"/>
    </row>
    <row r="6" spans="1:10" x14ac:dyDescent="0.35">
      <c r="A6" s="2" t="s">
        <v>7</v>
      </c>
      <c r="B6" s="3">
        <v>65.900000000000006</v>
      </c>
      <c r="C6" s="4">
        <f t="shared" si="1"/>
        <v>66</v>
      </c>
      <c r="D6" s="4">
        <f t="shared" si="0"/>
        <v>66</v>
      </c>
      <c r="E6" s="4">
        <f t="shared" si="2"/>
        <v>65</v>
      </c>
      <c r="J6" s="1"/>
    </row>
    <row r="7" spans="1:10" x14ac:dyDescent="0.35">
      <c r="A7" s="2" t="s">
        <v>8</v>
      </c>
      <c r="B7" s="3">
        <v>58.6</v>
      </c>
      <c r="C7" s="4">
        <f>ROUND(B7, 0)</f>
        <v>59</v>
      </c>
      <c r="D7" s="4">
        <f t="shared" si="0"/>
        <v>59</v>
      </c>
      <c r="E7" s="4">
        <f t="shared" si="2"/>
        <v>58</v>
      </c>
      <c r="J7" s="1"/>
    </row>
    <row r="8" spans="1:10" x14ac:dyDescent="0.35">
      <c r="A8" s="2" t="s">
        <v>9</v>
      </c>
      <c r="B8" s="3">
        <v>78.400000000000006</v>
      </c>
      <c r="C8" s="4">
        <f t="shared" si="1"/>
        <v>78</v>
      </c>
      <c r="D8" s="4">
        <f t="shared" si="0"/>
        <v>79</v>
      </c>
      <c r="E8" s="4">
        <f t="shared" si="2"/>
        <v>78</v>
      </c>
      <c r="J8" s="1"/>
    </row>
    <row r="9" spans="1:10" x14ac:dyDescent="0.35">
      <c r="A9" s="2" t="s">
        <v>10</v>
      </c>
      <c r="B9" s="3">
        <v>68.3</v>
      </c>
      <c r="C9" s="4">
        <f t="shared" si="1"/>
        <v>68</v>
      </c>
      <c r="D9" s="4">
        <f t="shared" si="0"/>
        <v>69</v>
      </c>
      <c r="E9" s="4">
        <f t="shared" si="2"/>
        <v>68</v>
      </c>
      <c r="J9" s="1"/>
    </row>
    <row r="10" spans="1:10" x14ac:dyDescent="0.35">
      <c r="A10" s="2" t="s">
        <v>11</v>
      </c>
      <c r="B10" s="3">
        <v>56.7</v>
      </c>
      <c r="C10" s="4">
        <f t="shared" si="1"/>
        <v>57</v>
      </c>
      <c r="D10" s="4">
        <f t="shared" si="0"/>
        <v>57</v>
      </c>
      <c r="E10" s="4">
        <f t="shared" si="2"/>
        <v>56</v>
      </c>
      <c r="J10" s="1"/>
    </row>
    <row r="11" spans="1:10" x14ac:dyDescent="0.35">
      <c r="A11" s="2" t="s">
        <v>12</v>
      </c>
      <c r="B11" s="3">
        <v>69.599999999999994</v>
      </c>
      <c r="C11" s="4">
        <f t="shared" si="1"/>
        <v>70</v>
      </c>
      <c r="D11" s="4">
        <f t="shared" si="0"/>
        <v>70</v>
      </c>
      <c r="E11" s="4">
        <f t="shared" si="2"/>
        <v>69</v>
      </c>
      <c r="J11" s="1"/>
    </row>
    <row r="12" spans="1:10" x14ac:dyDescent="0.35">
      <c r="J12" s="1"/>
    </row>
    <row r="13" spans="1:10" ht="45" x14ac:dyDescent="0.35">
      <c r="A13" s="10" t="s">
        <v>18</v>
      </c>
      <c r="B13" s="11" t="s">
        <v>19</v>
      </c>
      <c r="C13" s="11" t="s">
        <v>20</v>
      </c>
      <c r="D13" s="11" t="s">
        <v>21</v>
      </c>
      <c r="E13" s="11" t="s">
        <v>22</v>
      </c>
      <c r="J13" s="1"/>
    </row>
    <row r="14" spans="1:10" x14ac:dyDescent="0.35">
      <c r="A14" s="2" t="s">
        <v>23</v>
      </c>
      <c r="B14" s="4">
        <v>1250</v>
      </c>
      <c r="C14" s="8">
        <f>FLOOR(B14, 100)</f>
        <v>1200</v>
      </c>
      <c r="D14" s="8">
        <f>CEILING(B14, 100)</f>
        <v>1300</v>
      </c>
      <c r="E14" s="8">
        <f>MROUND(B14, 100)</f>
        <v>1300</v>
      </c>
      <c r="J14" s="1"/>
    </row>
    <row r="15" spans="1:10" x14ac:dyDescent="0.35">
      <c r="A15" s="2" t="s">
        <v>24</v>
      </c>
      <c r="B15" s="4">
        <v>9950</v>
      </c>
      <c r="C15" s="8">
        <f>FLOOR(B15, 100)</f>
        <v>9900</v>
      </c>
      <c r="D15" s="8">
        <f>CEILING(B15, 100)</f>
        <v>10000</v>
      </c>
      <c r="E15" s="8">
        <f t="shared" ref="E15:E18" si="3">MROUND(B15, 100)</f>
        <v>10000</v>
      </c>
      <c r="J15" s="1"/>
    </row>
    <row r="16" spans="1:10" x14ac:dyDescent="0.35">
      <c r="A16" s="2" t="s">
        <v>25</v>
      </c>
      <c r="B16" s="4">
        <v>820</v>
      </c>
      <c r="C16" s="8">
        <f t="shared" ref="C16:C18" si="4">FLOOR(B16, 100)</f>
        <v>800</v>
      </c>
      <c r="D16" s="8">
        <f t="shared" ref="D16:D18" si="5">CEILING(B16, 100)</f>
        <v>900</v>
      </c>
      <c r="E16" s="8">
        <f t="shared" si="3"/>
        <v>800</v>
      </c>
    </row>
    <row r="17" spans="1:5" x14ac:dyDescent="0.35">
      <c r="A17" s="2" t="s">
        <v>26</v>
      </c>
      <c r="B17" s="4">
        <v>86</v>
      </c>
      <c r="C17" s="8">
        <f t="shared" si="4"/>
        <v>0</v>
      </c>
      <c r="D17" s="8">
        <f t="shared" si="5"/>
        <v>100</v>
      </c>
      <c r="E17" s="8">
        <f t="shared" si="3"/>
        <v>100</v>
      </c>
    </row>
    <row r="18" spans="1:5" x14ac:dyDescent="0.35">
      <c r="A18" s="2" t="s">
        <v>27</v>
      </c>
      <c r="B18" s="4">
        <v>112</v>
      </c>
      <c r="C18" s="8">
        <f t="shared" si="4"/>
        <v>100</v>
      </c>
      <c r="D18" s="8">
        <f t="shared" si="5"/>
        <v>200</v>
      </c>
      <c r="E18" s="8">
        <f t="shared" si="3"/>
        <v>100</v>
      </c>
    </row>
    <row r="19" spans="1:5" x14ac:dyDescent="0.35">
      <c r="C19" s="6"/>
    </row>
    <row r="20" spans="1:5" x14ac:dyDescent="0.35">
      <c r="A20" s="9" t="s">
        <v>0</v>
      </c>
      <c r="B20" s="9" t="s">
        <v>1</v>
      </c>
      <c r="C20" s="9" t="s">
        <v>2</v>
      </c>
      <c r="D20" s="5"/>
    </row>
    <row r="21" spans="1:5" x14ac:dyDescent="0.35">
      <c r="A21" s="2" t="s">
        <v>3</v>
      </c>
      <c r="B21" s="3">
        <v>80.528999999999996</v>
      </c>
      <c r="C21" s="4">
        <f>ROUND(B21, 2)</f>
        <v>80.53</v>
      </c>
      <c r="D21" s="6"/>
      <c r="E21" s="7" t="s">
        <v>17</v>
      </c>
    </row>
    <row r="22" spans="1:5" x14ac:dyDescent="0.35">
      <c r="A22" s="2" t="s">
        <v>4</v>
      </c>
      <c r="B22" s="3">
        <v>90.543000000000006</v>
      </c>
      <c r="C22" s="4">
        <f>ROUND(B22, 2)</f>
        <v>90.54</v>
      </c>
      <c r="D22" s="6"/>
      <c r="E22" s="7" t="s">
        <v>28</v>
      </c>
    </row>
    <row r="23" spans="1:5" x14ac:dyDescent="0.35">
      <c r="A23" s="2" t="s">
        <v>5</v>
      </c>
      <c r="B23" s="3">
        <v>85.128</v>
      </c>
      <c r="C23" s="4">
        <f t="shared" ref="C23:C30" si="6">ROUND(B23, 2)</f>
        <v>85.13</v>
      </c>
      <c r="D23" s="6"/>
      <c r="E23" s="7" t="s">
        <v>29</v>
      </c>
    </row>
    <row r="24" spans="1:5" x14ac:dyDescent="0.35">
      <c r="A24" s="2" t="s">
        <v>6</v>
      </c>
      <c r="B24" s="3">
        <v>75.236000000000004</v>
      </c>
      <c r="C24" s="4">
        <f t="shared" si="6"/>
        <v>75.239999999999995</v>
      </c>
      <c r="D24" s="6"/>
      <c r="E24" s="7" t="s">
        <v>30</v>
      </c>
    </row>
    <row r="25" spans="1:5" x14ac:dyDescent="0.35">
      <c r="A25" s="2" t="s">
        <v>7</v>
      </c>
      <c r="B25" s="3">
        <v>65.927000000000007</v>
      </c>
      <c r="C25" s="4">
        <f t="shared" si="6"/>
        <v>65.930000000000007</v>
      </c>
      <c r="D25" s="6"/>
      <c r="E25" s="7" t="s">
        <v>31</v>
      </c>
    </row>
    <row r="26" spans="1:5" x14ac:dyDescent="0.35">
      <c r="A26" s="2" t="s">
        <v>8</v>
      </c>
      <c r="B26" s="3">
        <v>58.648000000000003</v>
      </c>
      <c r="C26" s="4">
        <f t="shared" si="6"/>
        <v>58.65</v>
      </c>
      <c r="D26" s="6"/>
      <c r="E26" s="7" t="s">
        <v>32</v>
      </c>
    </row>
    <row r="27" spans="1:5" x14ac:dyDescent="0.35">
      <c r="A27" s="2" t="s">
        <v>9</v>
      </c>
      <c r="B27" s="3">
        <v>78.456999999999994</v>
      </c>
      <c r="C27" s="4">
        <f t="shared" si="6"/>
        <v>78.459999999999994</v>
      </c>
      <c r="D27" s="6"/>
    </row>
    <row r="28" spans="1:5" x14ac:dyDescent="0.35">
      <c r="A28" s="2" t="s">
        <v>10</v>
      </c>
      <c r="B28" s="3">
        <v>68.370999999999995</v>
      </c>
      <c r="C28" s="4">
        <f t="shared" si="6"/>
        <v>68.37</v>
      </c>
      <c r="D28" s="6"/>
    </row>
    <row r="29" spans="1:5" x14ac:dyDescent="0.35">
      <c r="A29" s="2" t="s">
        <v>11</v>
      </c>
      <c r="B29" s="3">
        <v>56.713999999999999</v>
      </c>
      <c r="C29" s="4">
        <f t="shared" si="6"/>
        <v>56.71</v>
      </c>
      <c r="D29" s="6"/>
    </row>
    <row r="30" spans="1:5" x14ac:dyDescent="0.35">
      <c r="A30" s="2" t="s">
        <v>12</v>
      </c>
      <c r="B30" s="3">
        <v>69.628</v>
      </c>
      <c r="C30" s="4">
        <f t="shared" si="6"/>
        <v>69.63</v>
      </c>
      <c r="D30" s="6"/>
    </row>
    <row r="31" spans="1:5" x14ac:dyDescent="0.35">
      <c r="C31" s="6"/>
      <c r="D31" s="6"/>
    </row>
    <row r="32" spans="1:5" x14ac:dyDescent="0.35">
      <c r="A32" s="1" t="s">
        <v>13</v>
      </c>
    </row>
    <row r="33" spans="3:10" x14ac:dyDescent="0.35">
      <c r="C33" s="6"/>
      <c r="I33" s="6"/>
      <c r="J33" s="1"/>
    </row>
    <row r="34" spans="3:10" x14ac:dyDescent="0.35">
      <c r="D34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2025-07-31T13:15:11Z</dcterms:created>
  <dcterms:modified xsi:type="dcterms:W3CDTF">2026-05-01T09:44:05Z</dcterms:modified>
</cp:coreProperties>
</file>